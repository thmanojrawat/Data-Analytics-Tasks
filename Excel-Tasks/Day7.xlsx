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7_Student_Data" sheetId="1" state="visible" r:id="rId1"/>
    <sheet xmlns:r="http://schemas.openxmlformats.org/officeDocument/2006/relationships" name="Day7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Percentage by Course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'Day7_Dashboard'!C5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'Day7_Dashboard'!$A$6:$A$7</f>
            </numRef>
          </cat>
          <val>
            <numRef>
              <f>'Day7_Dashboard'!$C$6:$C$7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Course</a:t>
            </a:r>
          </a:p>
        </rich>
      </tx>
    </title>
    <plotArea>
      <pieChart>
        <varyColors val="1"/>
        <ser>
          <idx val="0"/>
          <order val="0"/>
          <tx>
            <strRef>
              <f>'Day7_Dashboard'!B5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'Day7_Dashboard'!$A$6:$A$7</f>
            </numRef>
          </cat>
          <val>
            <numRef>
              <f>'Day7_Dashboard'!$B$6:$B$7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Data" displayName="StudentData" ref="A1:I21" headerRowCount="1">
  <autoFilter ref="A1:I21"/>
  <tableColumns count="9">
    <tableColumn id="1" name="Student_ID"/>
    <tableColumn id="2" name="Student_Name"/>
    <tableColumn id="3" name="Course"/>
    <tableColumn id="4" name="Maths"/>
    <tableColumn id="5" name="DBMS"/>
    <tableColumn id="6" name="Python"/>
    <tableColumn id="7" name="Total"/>
    <tableColumn id="8" name="Percentage"/>
    <tableColumn id="9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4" customWidth="1" min="8" max="8"/>
    <col width="28" customWidth="1" min="9" max="9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Maths</t>
        </is>
      </c>
      <c r="E1" s="1" t="inlineStr">
        <is>
          <t>DBMS</t>
        </is>
      </c>
      <c r="F1" s="1" t="inlineStr">
        <is>
          <t>Python</t>
        </is>
      </c>
      <c r="G1" s="1" t="inlineStr">
        <is>
          <t>Total</t>
        </is>
      </c>
      <c r="H1" s="1" t="inlineStr">
        <is>
          <t>Percentage</t>
        </is>
      </c>
      <c r="I1" s="1" t="inlineStr">
        <is>
          <t>Result</t>
        </is>
      </c>
    </row>
    <row r="2">
      <c r="A2" t="n">
        <v>2001</v>
      </c>
      <c r="B2" t="inlineStr">
        <is>
          <t>Aarav</t>
        </is>
      </c>
      <c r="C2" t="inlineStr">
        <is>
          <t>BCA</t>
        </is>
      </c>
      <c r="D2" t="n">
        <v>61</v>
      </c>
      <c r="E2" t="n">
        <v>95</v>
      </c>
      <c r="F2" t="n">
        <v>95</v>
      </c>
      <c r="G2">
        <f>SUM(D2:F2)</f>
        <v/>
      </c>
      <c r="H2">
        <f>G2/300*100</f>
        <v/>
      </c>
      <c r="I2">
        <f>IF(H2&gt;=40,"Pass","Fail")</f>
        <v/>
      </c>
    </row>
    <row r="3">
      <c r="A3" t="n">
        <v>2002</v>
      </c>
      <c r="B3" t="inlineStr">
        <is>
          <t>Diya</t>
        </is>
      </c>
      <c r="C3" t="inlineStr">
        <is>
          <t>BCA</t>
        </is>
      </c>
      <c r="D3" t="n">
        <v>63</v>
      </c>
      <c r="E3" t="n">
        <v>72</v>
      </c>
      <c r="F3" t="n">
        <v>89</v>
      </c>
      <c r="G3">
        <f>SUM(D3:F3)</f>
        <v/>
      </c>
      <c r="H3">
        <f>G3/300*100</f>
        <v/>
      </c>
      <c r="I3">
        <f>IF(H3&gt;=40,"Pass","Fail")</f>
        <v/>
      </c>
    </row>
    <row r="4">
      <c r="A4" t="n">
        <v>2003</v>
      </c>
      <c r="B4" t="inlineStr">
        <is>
          <t>Kabir</t>
        </is>
      </c>
      <c r="C4" t="inlineStr">
        <is>
          <t>BCA</t>
        </is>
      </c>
      <c r="D4" t="n">
        <v>95</v>
      </c>
      <c r="E4" t="n">
        <v>80</v>
      </c>
      <c r="F4" t="n">
        <v>87</v>
      </c>
      <c r="G4">
        <f>SUM(D4:F4)</f>
        <v/>
      </c>
      <c r="H4">
        <f>G4/300*100</f>
        <v/>
      </c>
      <c r="I4">
        <f>IF(H4&gt;=40,"Pass","Fail")</f>
        <v/>
      </c>
    </row>
    <row r="5">
      <c r="A5" t="n">
        <v>2004</v>
      </c>
      <c r="B5" t="inlineStr">
        <is>
          <t>Ananya</t>
        </is>
      </c>
      <c r="C5" t="inlineStr">
        <is>
          <t>BCA</t>
        </is>
      </c>
      <c r="D5" t="n">
        <v>76</v>
      </c>
      <c r="E5" t="n">
        <v>54</v>
      </c>
      <c r="F5" t="n">
        <v>57</v>
      </c>
      <c r="G5">
        <f>SUM(D5:F5)</f>
        <v/>
      </c>
      <c r="H5">
        <f>G5/300*100</f>
        <v/>
      </c>
      <c r="I5">
        <f>IF(H5&gt;=40,"Pass","Fail")</f>
        <v/>
      </c>
    </row>
    <row r="6">
      <c r="A6" t="n">
        <v>2005</v>
      </c>
      <c r="B6" t="inlineStr">
        <is>
          <t>Rohan</t>
        </is>
      </c>
      <c r="C6" t="inlineStr">
        <is>
          <t>BCA</t>
        </is>
      </c>
      <c r="D6" t="n">
        <v>58</v>
      </c>
      <c r="E6" t="n">
        <v>48</v>
      </c>
      <c r="F6" t="n">
        <v>82</v>
      </c>
      <c r="G6">
        <f>SUM(D6:F6)</f>
        <v/>
      </c>
      <c r="H6">
        <f>G6/300*100</f>
        <v/>
      </c>
      <c r="I6">
        <f>IF(H6&gt;=40,"Pass","Fail")</f>
        <v/>
      </c>
    </row>
    <row r="7">
      <c r="A7" t="n">
        <v>2006</v>
      </c>
      <c r="B7" t="inlineStr">
        <is>
          <t>Ishita</t>
        </is>
      </c>
      <c r="C7" t="inlineStr">
        <is>
          <t>BCA</t>
        </is>
      </c>
      <c r="D7" t="n">
        <v>79</v>
      </c>
      <c r="E7" t="n">
        <v>48</v>
      </c>
      <c r="F7" t="n">
        <v>92</v>
      </c>
      <c r="G7">
        <f>SUM(D7:F7)</f>
        <v/>
      </c>
      <c r="H7">
        <f>G7/300*100</f>
        <v/>
      </c>
      <c r="I7">
        <f>IF(H7&gt;=40,"Pass","Fail")</f>
        <v/>
      </c>
    </row>
    <row r="8">
      <c r="A8" t="n">
        <v>2007</v>
      </c>
      <c r="B8" t="inlineStr">
        <is>
          <t>Vivaan</t>
        </is>
      </c>
      <c r="C8" t="inlineStr">
        <is>
          <t>BCA</t>
        </is>
      </c>
      <c r="D8" t="n">
        <v>48</v>
      </c>
      <c r="E8" t="n">
        <v>48</v>
      </c>
      <c r="F8" t="n">
        <v>82</v>
      </c>
      <c r="G8">
        <f>SUM(D8:F8)</f>
        <v/>
      </c>
      <c r="H8">
        <f>G8/300*100</f>
        <v/>
      </c>
      <c r="I8">
        <f>IF(H8&gt;=40,"Pass","Fail")</f>
        <v/>
      </c>
    </row>
    <row r="9">
      <c r="A9" t="n">
        <v>2008</v>
      </c>
      <c r="B9" t="inlineStr">
        <is>
          <t>Meera</t>
        </is>
      </c>
      <c r="C9" t="inlineStr">
        <is>
          <t>BCA</t>
        </is>
      </c>
      <c r="D9" t="n">
        <v>77</v>
      </c>
      <c r="E9" t="n">
        <v>78</v>
      </c>
      <c r="F9" t="n">
        <v>55</v>
      </c>
      <c r="G9">
        <f>SUM(D9:F9)</f>
        <v/>
      </c>
      <c r="H9">
        <f>G9/300*100</f>
        <v/>
      </c>
      <c r="I9">
        <f>IF(H9&gt;=40,"Pass","Fail")</f>
        <v/>
      </c>
    </row>
    <row r="10">
      <c r="A10" t="n">
        <v>2009</v>
      </c>
      <c r="B10" t="inlineStr">
        <is>
          <t>Arjun</t>
        </is>
      </c>
      <c r="C10" t="inlineStr">
        <is>
          <t>BCA</t>
        </is>
      </c>
      <c r="D10" t="n">
        <v>77</v>
      </c>
      <c r="E10" t="n">
        <v>50</v>
      </c>
      <c r="F10" t="n">
        <v>56</v>
      </c>
      <c r="G10">
        <f>SUM(D10:F10)</f>
        <v/>
      </c>
      <c r="H10">
        <f>G10/300*100</f>
        <v/>
      </c>
      <c r="I10">
        <f>IF(H10&gt;=40,"Pass","Fail")</f>
        <v/>
      </c>
    </row>
    <row r="11">
      <c r="A11" t="n">
        <v>2010</v>
      </c>
      <c r="B11" t="inlineStr">
        <is>
          <t>Naina</t>
        </is>
      </c>
      <c r="C11" t="inlineStr">
        <is>
          <t>BCA</t>
        </is>
      </c>
      <c r="D11" t="n">
        <v>83</v>
      </c>
      <c r="E11" t="n">
        <v>49</v>
      </c>
      <c r="F11" t="n">
        <v>88</v>
      </c>
      <c r="G11">
        <f>SUM(D11:F11)</f>
        <v/>
      </c>
      <c r="H11">
        <f>G11/300*100</f>
        <v/>
      </c>
      <c r="I11">
        <f>IF(H11&gt;=40,"Pass","Fail")</f>
        <v/>
      </c>
    </row>
    <row r="12">
      <c r="A12" t="n">
        <v>2011</v>
      </c>
      <c r="B12" t="inlineStr">
        <is>
          <t>Aditya</t>
        </is>
      </c>
      <c r="C12" t="inlineStr">
        <is>
          <t>BSc CS</t>
        </is>
      </c>
      <c r="D12" t="n">
        <v>70</v>
      </c>
      <c r="E12" t="n">
        <v>52</v>
      </c>
      <c r="F12" t="n">
        <v>81</v>
      </c>
      <c r="G12">
        <f>SUM(D12:F12)</f>
        <v/>
      </c>
      <c r="H12">
        <f>G12/300*100</f>
        <v/>
      </c>
      <c r="I12">
        <f>IF(H12&gt;=40,"Pass","Fail")</f>
        <v/>
      </c>
    </row>
    <row r="13">
      <c r="A13" t="n">
        <v>2012</v>
      </c>
      <c r="B13" t="inlineStr">
        <is>
          <t>Pihu</t>
        </is>
      </c>
      <c r="C13" t="inlineStr">
        <is>
          <t>BSc CS</t>
        </is>
      </c>
      <c r="D13" t="n">
        <v>82</v>
      </c>
      <c r="E13" t="n">
        <v>83</v>
      </c>
      <c r="F13" t="n">
        <v>47</v>
      </c>
      <c r="G13">
        <f>SUM(D13:F13)</f>
        <v/>
      </c>
      <c r="H13">
        <f>G13/300*100</f>
        <v/>
      </c>
      <c r="I13">
        <f>IF(H13&gt;=40,"Pass","Fail")</f>
        <v/>
      </c>
    </row>
    <row r="14">
      <c r="A14" t="n">
        <v>2013</v>
      </c>
      <c r="B14" t="inlineStr">
        <is>
          <t>Rahul</t>
        </is>
      </c>
      <c r="C14" t="inlineStr">
        <is>
          <t>BSc CS</t>
        </is>
      </c>
      <c r="D14" t="n">
        <v>50</v>
      </c>
      <c r="E14" t="n">
        <v>71</v>
      </c>
      <c r="F14" t="n">
        <v>87</v>
      </c>
      <c r="G14">
        <f>SUM(D14:F14)</f>
        <v/>
      </c>
      <c r="H14">
        <f>G14/300*100</f>
        <v/>
      </c>
      <c r="I14">
        <f>IF(H14&gt;=40,"Pass","Fail")</f>
        <v/>
      </c>
    </row>
    <row r="15">
      <c r="A15" t="n">
        <v>2014</v>
      </c>
      <c r="B15" t="inlineStr">
        <is>
          <t>Sneha</t>
        </is>
      </c>
      <c r="C15" t="inlineStr">
        <is>
          <t>BSc CS</t>
        </is>
      </c>
      <c r="D15" t="n">
        <v>81</v>
      </c>
      <c r="E15" t="n">
        <v>78</v>
      </c>
      <c r="F15" t="n">
        <v>65</v>
      </c>
      <c r="G15">
        <f>SUM(D15:F15)</f>
        <v/>
      </c>
      <c r="H15">
        <f>G15/300*100</f>
        <v/>
      </c>
      <c r="I15">
        <f>IF(H15&gt;=40,"Pass","Fail")</f>
        <v/>
      </c>
    </row>
    <row r="16">
      <c r="A16" t="n">
        <v>2015</v>
      </c>
      <c r="B16" t="inlineStr">
        <is>
          <t>Kunal</t>
        </is>
      </c>
      <c r="C16" t="inlineStr">
        <is>
          <t>BCA</t>
        </is>
      </c>
      <c r="D16" t="n">
        <v>58</v>
      </c>
      <c r="E16" t="n">
        <v>87</v>
      </c>
      <c r="F16" t="n">
        <v>90</v>
      </c>
      <c r="G16">
        <f>SUM(D16:F16)</f>
        <v/>
      </c>
      <c r="H16">
        <f>G16/300*100</f>
        <v/>
      </c>
      <c r="I16">
        <f>IF(H16&gt;=40,"Pass","Fail")</f>
        <v/>
      </c>
    </row>
    <row r="17">
      <c r="A17" t="n">
        <v>2016</v>
      </c>
      <c r="B17" t="inlineStr">
        <is>
          <t>Tanya</t>
        </is>
      </c>
      <c r="C17" t="inlineStr">
        <is>
          <t>BCA</t>
        </is>
      </c>
      <c r="D17" t="n">
        <v>60</v>
      </c>
      <c r="E17" t="n">
        <v>61</v>
      </c>
      <c r="F17" t="n">
        <v>70</v>
      </c>
      <c r="G17">
        <f>SUM(D17:F17)</f>
        <v/>
      </c>
      <c r="H17">
        <f>G17/300*100</f>
        <v/>
      </c>
      <c r="I17">
        <f>IF(H17&gt;=40,"Pass","Fail")</f>
        <v/>
      </c>
    </row>
    <row r="18">
      <c r="A18" t="n">
        <v>2017</v>
      </c>
      <c r="B18" t="inlineStr">
        <is>
          <t>Yash</t>
        </is>
      </c>
      <c r="C18" t="inlineStr">
        <is>
          <t>BSc CS</t>
        </is>
      </c>
      <c r="D18" t="n">
        <v>87</v>
      </c>
      <c r="E18" t="n">
        <v>86</v>
      </c>
      <c r="F18" t="n">
        <v>64</v>
      </c>
      <c r="G18">
        <f>SUM(D18:F18)</f>
        <v/>
      </c>
      <c r="H18">
        <f>G18/300*100</f>
        <v/>
      </c>
      <c r="I18">
        <f>IF(H18&gt;=40,"Pass","Fail")</f>
        <v/>
      </c>
    </row>
    <row r="19">
      <c r="A19" t="n">
        <v>2018</v>
      </c>
      <c r="B19" t="inlineStr">
        <is>
          <t>Aditi</t>
        </is>
      </c>
      <c r="C19" t="inlineStr">
        <is>
          <t>BCA</t>
        </is>
      </c>
      <c r="D19" t="n">
        <v>65</v>
      </c>
      <c r="E19" t="n">
        <v>93</v>
      </c>
      <c r="F19" t="n">
        <v>49</v>
      </c>
      <c r="G19">
        <f>SUM(D19:F19)</f>
        <v/>
      </c>
      <c r="H19">
        <f>G19/300*100</f>
        <v/>
      </c>
      <c r="I19">
        <f>IF(H19&gt;=40,"Pass","Fail")</f>
        <v/>
      </c>
    </row>
    <row r="20">
      <c r="A20" t="n">
        <v>2019</v>
      </c>
      <c r="B20" t="inlineStr">
        <is>
          <t>Manav</t>
        </is>
      </c>
      <c r="C20" t="inlineStr">
        <is>
          <t>BCA</t>
        </is>
      </c>
      <c r="D20" t="n">
        <v>74</v>
      </c>
      <c r="E20" t="n">
        <v>84</v>
      </c>
      <c r="F20" t="n">
        <v>81</v>
      </c>
      <c r="G20">
        <f>SUM(D20:F20)</f>
        <v/>
      </c>
      <c r="H20">
        <f>G20/300*100</f>
        <v/>
      </c>
      <c r="I20">
        <f>IF(H20&gt;=40,"Pass","Fail")</f>
        <v/>
      </c>
    </row>
    <row r="21">
      <c r="A21" t="n">
        <v>2020</v>
      </c>
      <c r="B21" t="inlineStr">
        <is>
          <t>Riya</t>
        </is>
      </c>
      <c r="C21" t="inlineStr">
        <is>
          <t>BCA</t>
        </is>
      </c>
      <c r="D21" t="n">
        <v>49</v>
      </c>
      <c r="E21" t="n">
        <v>79</v>
      </c>
      <c r="F21" t="n">
        <v>58</v>
      </c>
      <c r="G21">
        <f>SUM(D21:F21)</f>
        <v/>
      </c>
      <c r="H21">
        <f>G21/300*100</f>
        <v/>
      </c>
      <c r="I21">
        <f>IF(H21&gt;=40,"Pass","Fail")</f>
        <v/>
      </c>
    </row>
  </sheetData>
  <conditionalFormatting sqref="H2:H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1" customWidth="1" min="4" max="4"/>
    <col width="28" customWidth="1" min="5" max="5"/>
    <col width="10" customWidth="1" min="6" max="6"/>
    <col width="12" customWidth="1" min="7" max="7"/>
    <col width="28" customWidth="1" min="8" max="8"/>
  </cols>
  <sheetData>
    <row r="1">
      <c r="A1" s="4" t="inlineStr">
        <is>
          <t>STUDENT PERFORMANCE DASHBOARD</t>
        </is>
      </c>
    </row>
    <row r="3">
      <c r="A3" t="inlineStr">
        <is>
          <t>Total Students</t>
        </is>
      </c>
      <c r="B3" s="2">
        <f>COUNTA('Day7_Student_Data'!B2:B21)</f>
        <v/>
      </c>
      <c r="D3" t="inlineStr">
        <is>
          <t>Average %</t>
        </is>
      </c>
      <c r="E3" s="2">
        <f>AVERAGE('Day7_Student_Data'!H2:H21)</f>
        <v/>
      </c>
      <c r="G3" t="inlineStr">
        <is>
          <t>Pass Count</t>
        </is>
      </c>
      <c r="H3" s="2">
        <f>COUNTIF('Day7_Student_Data'!I2:I21,"Pass")</f>
        <v/>
      </c>
    </row>
    <row r="4">
      <c r="B4" s="2" t="n"/>
      <c r="E4" s="2" t="n"/>
      <c r="H4" s="2" t="n"/>
    </row>
    <row r="5">
      <c r="A5" s="5" t="inlineStr">
        <is>
          <t>Course</t>
        </is>
      </c>
      <c r="B5" s="5" t="inlineStr">
        <is>
          <t>Students</t>
        </is>
      </c>
      <c r="C5" s="5" t="inlineStr">
        <is>
          <t>Avg %</t>
        </is>
      </c>
      <c r="E5" s="2" t="n"/>
      <c r="H5" s="2" t="n"/>
    </row>
    <row r="6">
      <c r="A6" t="inlineStr">
        <is>
          <t>BCA</t>
        </is>
      </c>
      <c r="B6" s="2">
        <f>COUNTIF('Day7_Student_Data'!C2:C21,A6)</f>
        <v/>
      </c>
      <c r="C6">
        <f>AVERAGEIF('Day7_Student_Data'!C2:C21,A6,'Day7_Student_Data'!H2:H21)</f>
        <v/>
      </c>
      <c r="E6" s="2" t="n"/>
      <c r="H6" s="2" t="n"/>
    </row>
    <row r="7">
      <c r="A7" t="inlineStr">
        <is>
          <t>BSc CS</t>
        </is>
      </c>
      <c r="B7" s="2">
        <f>COUNTIF('Day7_Student_Data'!C2:C21,A7)</f>
        <v/>
      </c>
      <c r="C7">
        <f>AVERAGEIF('Day7_Student_Data'!C2:C21,A7,'Day7_Student_Data'!H2:H21)</f>
        <v/>
      </c>
      <c r="E7" s="2" t="n"/>
      <c r="H7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2026-09-21T14:21:53Z</dcterms:created>
  <dcterms:modified xmlns:dcterms="http://purl.org/dc/terms/" xmlns:xsi="http://www.w3.org/2001/XMLSchema-instance" xsi:type="dcterms:W3CDTF">2026-09-21T14:22:13Z</dcterms:modified>
</cp:coreProperties>
</file>